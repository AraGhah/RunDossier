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unnel" sheetId="2" state="visible" r:id="rId4"/>
    <sheet name="Dashboard" sheetId="3" state="visible" r:id="rId5"/>
    <sheet name="Sourcing" sheetId="4" state="visible" r:id="rId6"/>
    <sheet name="Message Bank"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<sst xmlns="http://schemas.openxmlformats.org/spreadsheetml/2006/main" count="157" uniqueCount="118">
  <si>
    <t xml:space="preserve">Preframe — Warm Pilot Funnel Tracker</t>
  </si>
  <si>
    <t xml:space="preserve">Manual warm-DM pilot outreach. Separate from cold sending — do NOT push these through Smartlead while inboxes warm.</t>
  </si>
  <si>
    <t xml:space="preserve">How to use this file</t>
  </si>
  <si>
    <t xml:space="preserve">1. Sourcing tab — list candidates, score warmth 1–5, pick your top 10.</t>
  </si>
  <si>
    <t xml:space="preserve">2. Funnel tab — one row per contact. Persona + suggested Variant + Channel are pre-filled; add Name, Email, LinkedIn, Mutual.</t>
  </si>
  <si>
    <t xml:space="preserve">3. Send the matching message variant (see Message Bank / the templates doc). Log Contacted date + Status the same day.</t>
  </si>
  <si>
    <t xml:space="preserve">4. Dashboard tab — updates automatically from the Funnel as you fill it in.</t>
  </si>
  <si>
    <t xml:space="preserve">5. Sync to Supabase with loader/load_pilot_contacts.py (idempotent; --dry-run first).</t>
  </si>
  <si>
    <t xml:space="preserve">Status ladder (matches the database CHECK constraint)</t>
  </si>
  <si>
    <t xml:space="preserve">new → contacted → in_progress → delivered → closed</t>
  </si>
  <si>
    <t xml:space="preserve">Outcome values: pending · no_response · replied · call_booked · pilot_accepted · pilot_delivered · case_study · referral · declined</t>
  </si>
  <si>
    <t xml:space="preserve">Yellow cells are for you to fill in. Everything on the Dashboard is a formula — don't overwrite those.</t>
  </si>
  <si>
    <t xml:space="preserve">Source of truth: public.pilot_requests in your Preframe Supabase project.</t>
  </si>
  <si>
    <t xml:space="preserve">#</t>
  </si>
  <si>
    <t xml:space="preserve">Name</t>
  </si>
  <si>
    <t xml:space="preserve">Persona</t>
  </si>
  <si>
    <t xml:space="preserve">Company</t>
  </si>
  <si>
    <t xml:space="preserve">Email</t>
  </si>
  <si>
    <t xml:space="preserve">LinkedIn URL</t>
  </si>
  <si>
    <t xml:space="preserve">Relationship</t>
  </si>
  <si>
    <t xml:space="preserve">Mutual / how warm</t>
  </si>
  <si>
    <t xml:space="preserve">Warmth (1-5)</t>
  </si>
  <si>
    <t xml:space="preserve">Channel</t>
  </si>
  <si>
    <t xml:space="preserve">Variant</t>
  </si>
  <si>
    <t xml:space="preserve">Status</t>
  </si>
  <si>
    <t xml:space="preserve">Contacted (date)</t>
  </si>
  <si>
    <t xml:space="preserve">Follow-up 1 (date)</t>
  </si>
  <si>
    <t xml:space="preserve">Follow-up 2 (date)</t>
  </si>
  <si>
    <t xml:space="preserve">Replied (date)</t>
  </si>
  <si>
    <t xml:space="preserve">Reply sentiment</t>
  </si>
  <si>
    <t xml:space="preserve">Pilot sent (date)</t>
  </si>
  <si>
    <t xml:space="preserve">Outcome</t>
  </si>
  <si>
    <t xml:space="preserve">Owner</t>
  </si>
  <si>
    <t xml:space="preserve">Notes</t>
  </si>
  <si>
    <t xml:space="preserve">agency_founder</t>
  </si>
  <si>
    <t xml:space="preserve">both</t>
  </si>
  <si>
    <t xml:space="preserve">A</t>
  </si>
  <si>
    <t xml:space="preserve">new</t>
  </si>
  <si>
    <t xml:space="preserve">pending</t>
  </si>
  <si>
    <t xml:space="preserve">ara</t>
  </si>
  <si>
    <t xml:space="preserve">dfy_sdr_agency</t>
  </si>
  <si>
    <t xml:space="preserve">B</t>
  </si>
  <si>
    <t xml:space="preserve">head_of_sales</t>
  </si>
  <si>
    <t xml:space="preserve">C</t>
  </si>
  <si>
    <t xml:space="preserve">sdr_lead</t>
  </si>
  <si>
    <t xml:space="preserve">D</t>
  </si>
  <si>
    <t xml:space="preserve">revops</t>
  </si>
  <si>
    <t xml:space="preserve">E</t>
  </si>
  <si>
    <t xml:space="preserve">saas_founder</t>
  </si>
  <si>
    <t xml:space="preserve">F</t>
  </si>
  <si>
    <t xml:space="preserve">appointment_setter</t>
  </si>
  <si>
    <t xml:space="preserve">G</t>
  </si>
  <si>
    <t xml:space="preserve">fractional_cro</t>
  </si>
  <si>
    <t xml:space="preserve">H</t>
  </si>
  <si>
    <t xml:space="preserve">gtm_marketer</t>
  </si>
  <si>
    <t xml:space="preserve">I</t>
  </si>
  <si>
    <t xml:space="preserve">community_peer</t>
  </si>
  <si>
    <t xml:space="preserve">J</t>
  </si>
  <si>
    <t xml:space="preserve">Pilot Funnel — Live Dashboard</t>
  </si>
  <si>
    <t xml:space="preserve">Auto-calculated from the Funnel tab. Target: 10 sent → 2–3 case studies.</t>
  </si>
  <si>
    <t xml:space="preserve">Contacts entered</t>
  </si>
  <si>
    <t xml:space="preserve">Count</t>
  </si>
  <si>
    <t xml:space="preserve">Offers sent (contacted)</t>
  </si>
  <si>
    <t xml:space="preserve">Follow-ups sent</t>
  </si>
  <si>
    <t xml:space="preserve">contacted</t>
  </si>
  <si>
    <t xml:space="preserve">Replies</t>
  </si>
  <si>
    <t xml:space="preserve">in_progress</t>
  </si>
  <si>
    <t xml:space="preserve">Reply rate</t>
  </si>
  <si>
    <t xml:space="preserve">delivered</t>
  </si>
  <si>
    <t xml:space="preserve">Positive replies</t>
  </si>
  <si>
    <t xml:space="preserve">closed</t>
  </si>
  <si>
    <t xml:space="preserve">Calls booked</t>
  </si>
  <si>
    <t xml:space="preserve">Total</t>
  </si>
  <si>
    <t xml:space="preserve">Pilots accepted</t>
  </si>
  <si>
    <t xml:space="preserve">Pilots delivered</t>
  </si>
  <si>
    <t xml:space="preserve">Case studies</t>
  </si>
  <si>
    <t xml:space="preserve">Referrals</t>
  </si>
  <si>
    <t xml:space="preserve">Declined</t>
  </si>
  <si>
    <t xml:space="preserve">Conversion</t>
  </si>
  <si>
    <t xml:space="preserve">Sent → Reply</t>
  </si>
  <si>
    <t xml:space="preserve">Reply → Pilot delivered</t>
  </si>
  <si>
    <t xml:space="preserve">Sent → Case study</t>
  </si>
  <si>
    <t xml:space="preserve">Sourcing — find your 10 warm-ish contacts</t>
  </si>
  <si>
    <t xml:space="preserve">Warmth rubric:</t>
  </si>
  <si>
    <t xml:space="preserve">5 = talked directly; replies to your name today</t>
  </si>
  <si>
    <t xml:space="preserve">4 = 1st-degree / past colleague; light prior contact</t>
  </si>
  <si>
    <t xml:space="preserve">3 = true friend-of-friend; a mutual would intro you  (sweet spot)</t>
  </si>
  <si>
    <t xml:space="preserve">2 = 2nd-degree, engaged with your content, no direct contact</t>
  </si>
  <si>
    <t xml:space="preserve">1 = cold-ish — don't use for this step</t>
  </si>
  <si>
    <t xml:space="preserve">Candidate</t>
  </si>
  <si>
    <t xml:space="preserve">How you know them (mutual/context)</t>
  </si>
  <si>
    <t xml:space="preserve">Warmth</t>
  </si>
  <si>
    <t xml:space="preserve">Move to Funnel?</t>
  </si>
  <si>
    <t xml:space="preserve">Message Bank</t>
  </si>
  <si>
    <t xml:space="preserve">Offer</t>
  </si>
  <si>
    <t xml:space="preserve">OFFER: Free pilot — I research 50–100 of your prospects and write personalized first lines (subject + opener), QA'd, ready to paste into your sequencer. Reply-rate guarantee: beats your current opener or I redo it free / you owe nothing. No card, no commitment. Honest framing: I'm testing a new research pipeline and want real feedback (+ a testimonial if it's good).</t>
  </si>
  <si>
    <t xml:space="preserve">A — agency founder</t>
  </si>
  <si>
    <t xml:space="preserve">Hey {{first}} — we both know {{mutual}}, and I've watched you run cold for clients. Free pilot: I research 50–100 of one client's prospects and hand you ready-to-send personalized openers. Beats your current reply rate or you owe nothing. Just want blunt feedback.</t>
  </si>
  <si>
    <t xml:space="preserve">B — DFY/SDR agency</t>
  </si>
  <si>
    <t xml:space="preserve">{{first}}, {{mutual}} pointed me your way. Personalization at your volume is the part that breaks. I built a pipeline that researches + writes first lines per prospect, QA'd. Free pilot on 50–100 for one account; if it doesn't out-reply your openers I redo it free.</t>
  </si>
  <si>
    <t xml:space="preserve">C — Head/VP Sales</t>
  </si>
  <si>
    <t xml:space="preserve">Your reps' pipeline rides on whether the first line lands. I'll research 50–100 of one rep's prospects and hand back personalized, QA'd openers, free — if they don't beat your current reply rate, you owe nothing.</t>
  </si>
  <si>
    <t xml:space="preserve">D — SDR/BDR lead</t>
  </si>
  <si>
    <t xml:space="preserve">You coach reps on personalization all day, so you'll sniff out anything fake instantly. Free batch of 50–100 signal-grounded first lines for your team, ready to paste. Beats your current openers or you owe nothing.</t>
  </si>
  <si>
    <t xml:space="preserve">E — RevOps</t>
  </si>
  <si>
    <t xml:space="preserve">You run RevOps at {{company}} — I built a pipeline that outputs personalized first lines straight into your sequencer format. Free pilot, 50–100 prospects, measured vs your current reply rate. If it loses, you owe nothing.</t>
  </si>
  <si>
    <t xml:space="preserve">F — SaaS founder</t>
  </si>
  <si>
    <t xml:space="preserve">You're doing your own outbound on top of everything else. I'll take 50–100 of your prospects and do the research + personalization for you, free — ready to send. If it doesn't beat what you get now, no charge.</t>
  </si>
  <si>
    <t xml:space="preserve">G — appointment setter</t>
  </si>
  <si>
    <t xml:space="preserve">Your whole game is reply rate. Free batch of 50–100 personalized first lines for one client, ready to send. If it doesn't beat your current openers you owe nothing. Want to stress-test it on a campaign?</t>
  </si>
  <si>
    <t xml:space="preserve">H — fractional CRO</t>
  </si>
  <si>
    <t xml:space="preserve">You advise teams on outbound, so a research tool you've personally vetted is useful to you. I'll personalize 50–100 prospects for one client free — beats their current reply rate or they owe nothing.</t>
  </si>
  <si>
    <t xml:space="preserve">I — GTM marketer</t>
  </si>
  <si>
    <t xml:space="preserve">You're running outbound experiments — here's a free one with a guarantee: I research + personalize 50–100 of your prospects, you measure vs current reply rate; it loses, you owe nothing.</t>
  </si>
  <si>
    <t xml:space="preserve">J — community peer</t>
  </si>
  <si>
    <t xml:space="preserve">Love what you're building in {{community}}. I'm testing a research pipeline and want feedback from someone who knows the space. Free batch on 50–100 prospects, zero strings — mostly want your honest read.</t>
  </si>
  <si>
    <t xml:space="preserve">Follow-ups</t>
  </si>
  <si>
    <t xml:space="preserve">Bump 1 (3–4 days): Floating this back up — happy to personalize ONE of your prospects so you can see the quality first. Want me to?   |   Bump 2 (~7 days, then stop): Last nudge — leaving it here. If reply rates ever become the bottleneck, the free batch stands.</t>
  </si>
</sst>
</file>

<file path=xl/styles.xml><?xml version="1.0" encoding="utf-8"?>
<styleSheet xmlns="http://schemas.openxmlformats.org/spreadsheetml/2006/main">
  <numFmts count="4">
    <numFmt numFmtId="164" formatCode="General"/>
    <numFmt numFmtId="165" formatCode="yyyy\-mm\-dd"/>
    <numFmt numFmtId="166" formatCode="0"/>
    <numFmt numFmtId="167" formatCode="0.0%"/>
  </numFmts>
  <fonts count="12">
    <font>
      <sz val="11"/>
      <color theme="1"/>
      <name val="Calibri"/>
      <family val="2"/>
      <charset val="1"/>
    </font>
    <font>
      <sz val="10"/>
      <name val="Arial"/>
      <family val="0"/>
    </font>
    <font>
      <sz val="10"/>
      <name val="Arial"/>
      <family val="0"/>
    </font>
    <font>
      <sz val="10"/>
      <name val="Arial"/>
      <family val="0"/>
    </font>
    <font>
      <b val="true"/>
      <sz val="16"/>
      <color rgb="FF1F2A44"/>
      <name val="Arial"/>
      <family val="0"/>
      <charset val="1"/>
    </font>
    <font>
      <i val="true"/>
      <sz val="10"/>
      <color rgb="FF666666"/>
      <name val="Arial"/>
      <family val="0"/>
      <charset val="1"/>
    </font>
    <font>
      <b val="true"/>
      <sz val="11"/>
      <name val="Arial"/>
      <family val="0"/>
      <charset val="1"/>
    </font>
    <font>
      <sz val="10"/>
      <name val="Arial"/>
      <family val="0"/>
      <charset val="1"/>
    </font>
    <font>
      <sz val="10"/>
      <color rgb="FF2E5BFF"/>
      <name val="Arial"/>
      <family val="0"/>
      <charset val="1"/>
    </font>
    <font>
      <b val="true"/>
      <sz val="11"/>
      <color rgb="FFFFFFFF"/>
      <name val="Arial"/>
      <family val="0"/>
      <charset val="1"/>
    </font>
    <font>
      <b val="true"/>
      <sz val="15"/>
      <color rgb="FF1F2A44"/>
      <name val="Arial"/>
      <family val="0"/>
      <charset val="1"/>
    </font>
    <font>
      <i val="true"/>
      <sz val="9"/>
      <color rgb="FF666666"/>
      <name val="Arial"/>
      <family val="0"/>
      <charset val="1"/>
    </font>
  </fonts>
  <fills count="7">
    <fill>
      <patternFill patternType="none"/>
    </fill>
    <fill>
      <patternFill patternType="gray125"/>
    </fill>
    <fill>
      <patternFill patternType="solid">
        <fgColor rgb="FF1F2A44"/>
        <bgColor rgb="FF003366"/>
      </patternFill>
    </fill>
    <fill>
      <patternFill patternType="solid">
        <fgColor rgb="FFFFFDE7"/>
        <bgColor rgb="FFFFFFFF"/>
      </patternFill>
    </fill>
    <fill>
      <patternFill patternType="solid">
        <fgColor rgb="FFEEF2FF"/>
        <bgColor rgb="FFF4F5F7"/>
      </patternFill>
    </fill>
    <fill>
      <patternFill patternType="solid">
        <fgColor rgb="FF2E5BFF"/>
        <bgColor rgb="FF0066CC"/>
      </patternFill>
    </fill>
    <fill>
      <patternFill patternType="solid">
        <fgColor rgb="FFF4F5F7"/>
        <bgColor rgb="FFEEF2FF"/>
      </patternFill>
    </fill>
  </fills>
  <borders count="2">
    <border diagonalUp="false" diagonalDown="false">
      <left/>
      <right/>
      <top/>
      <bottom/>
      <diagonal/>
    </border>
    <border diagonalUp="false" diagonalDown="false">
      <left style="thin">
        <color rgb="FFC9CED6"/>
      </left>
      <right style="thin">
        <color rgb="FFC9CED6"/>
      </right>
      <top style="thin">
        <color rgb="FFC9CED6"/>
      </top>
      <bottom style="thin">
        <color rgb="FFC9CE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4" fontId="9" fillId="5" borderId="0" xfId="0" applyFont="true" applyBorder="fals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7"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9" fillId="5" borderId="0" xfId="0" applyFont="true" applyBorder="false" applyAlignment="true" applyProtection="false">
      <alignment horizontal="left" vertical="center" textRotation="0" wrapText="tru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DE7"/>
      <rgbColor rgb="FFEEF2FF"/>
      <rgbColor rgb="FF660066"/>
      <rgbColor rgb="FFFF8080"/>
      <rgbColor rgb="FF0066CC"/>
      <rgbColor rgb="FFC9CED6"/>
      <rgbColor rgb="FF000080"/>
      <rgbColor rgb="FFFF00FF"/>
      <rgbColor rgb="FFFFFF00"/>
      <rgbColor rgb="FF00FFFF"/>
      <rgbColor rgb="FF800080"/>
      <rgbColor rgb="FF800000"/>
      <rgbColor rgb="FF008080"/>
      <rgbColor rgb="FF0000FF"/>
      <rgbColor rgb="FF00CCFF"/>
      <rgbColor rgb="FFF4F5F7"/>
      <rgbColor rgb="FFCCFFCC"/>
      <rgbColor rgb="FFFFFF99"/>
      <rgbColor rgb="FF99CCFF"/>
      <rgbColor rgb="FFFF99CC"/>
      <rgbColor rgb="FFCC99FF"/>
      <rgbColor rgb="FFFFCC99"/>
      <rgbColor rgb="FF2E5B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104"/>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row>
    <row r="7" customFormat="false" ht="15" hidden="false" customHeight="false" outlineLevel="0" collapsed="false">
      <c r="B7" s="4" t="s">
        <v>4</v>
      </c>
    </row>
    <row r="8" customFormat="false" ht="15" hidden="false" customHeight="false" outlineLevel="0" collapsed="false">
      <c r="B8" s="4" t="s">
        <v>5</v>
      </c>
    </row>
    <row r="9" customFormat="false" ht="15" hidden="false" customHeight="false" outlineLevel="0" collapsed="false">
      <c r="B9" s="4" t="s">
        <v>6</v>
      </c>
    </row>
    <row r="10" customFormat="false" ht="15" hidden="false" customHeight="false" outlineLevel="0" collapsed="false">
      <c r="B10" s="4" t="s">
        <v>7</v>
      </c>
    </row>
    <row r="11" customFormat="false" ht="15" hidden="false" customHeight="false" outlineLevel="0" collapsed="false">
      <c r="B11" s="4"/>
    </row>
    <row r="12" customFormat="false" ht="15" hidden="false" customHeight="false" outlineLevel="0" collapsed="false">
      <c r="B12" s="3" t="s">
        <v>8</v>
      </c>
    </row>
    <row r="13" customFormat="false" ht="15" hidden="false" customHeight="false" outlineLevel="0" collapsed="false">
      <c r="B13" s="5" t="s">
        <v>9</v>
      </c>
    </row>
    <row r="14" customFormat="false" ht="23.85" hidden="false" customHeight="false" outlineLevel="0" collapsed="false">
      <c r="B14" s="4" t="s">
        <v>10</v>
      </c>
    </row>
    <row r="15" customFormat="false" ht="15" hidden="false" customHeight="false" outlineLevel="0" collapsed="false">
      <c r="B15" s="4"/>
    </row>
    <row r="16" customFormat="false" ht="15" hidden="false" customHeight="false" outlineLevel="0" collapsed="false">
      <c r="B16" s="2" t="s">
        <v>11</v>
      </c>
    </row>
    <row r="17" customFormat="false" ht="15" hidden="false" customHeight="false" outlineLevel="0" collapsed="false">
      <c r="B17" s="2"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4" min="2" style="0" width="18"/>
    <col collapsed="false" customWidth="true" hidden="false" outlineLevel="0" max="5" min="5" style="0" width="24"/>
    <col collapsed="false" customWidth="true" hidden="false" outlineLevel="0" max="6" min="6" style="0" width="30"/>
    <col collapsed="false" customWidth="true" hidden="false" outlineLevel="0" max="7" min="7" style="0" width="16"/>
    <col collapsed="false" customWidth="true" hidden="false" outlineLevel="0" max="8" min="8" style="0" width="26"/>
    <col collapsed="false" customWidth="true" hidden="false" outlineLevel="0" max="9" min="9" style="0" width="11"/>
    <col collapsed="false" customWidth="true" hidden="false" outlineLevel="0" max="10" min="10" style="0" width="10"/>
    <col collapsed="false" customWidth="true" hidden="false" outlineLevel="0" max="11" min="11" style="0" width="9"/>
    <col collapsed="false" customWidth="true" hidden="false" outlineLevel="0" max="12" min="12" style="0" width="13"/>
    <col collapsed="false" customWidth="true" hidden="false" outlineLevel="0" max="13" min="13" style="0" width="15"/>
    <col collapsed="false" customWidth="true" hidden="false" outlineLevel="0" max="15" min="14" style="0" width="16"/>
    <col collapsed="false" customWidth="true" hidden="false" outlineLevel="0" max="16" min="16" style="0" width="14"/>
    <col collapsed="false" customWidth="true" hidden="false" outlineLevel="0" max="18" min="17" style="0" width="15"/>
    <col collapsed="false" customWidth="true" hidden="false" outlineLevel="0" max="19" min="19" style="0" width="16"/>
    <col collapsed="false" customWidth="true" hidden="false" outlineLevel="0" max="20" min="20" style="0" width="9"/>
    <col collapsed="false" customWidth="true" hidden="false" outlineLevel="0" max="21" min="21" style="0" width="30"/>
  </cols>
  <sheetData>
    <row r="1" customFormat="false" ht="30" hidden="false" customHeight="true" outlineLevel="0" collapsed="false">
      <c r="A1" s="6" t="s">
        <v>13</v>
      </c>
      <c r="B1" s="6" t="s">
        <v>14</v>
      </c>
      <c r="C1" s="6" t="s">
        <v>15</v>
      </c>
      <c r="D1" s="6" t="s">
        <v>16</v>
      </c>
      <c r="E1" s="6" t="s">
        <v>17</v>
      </c>
      <c r="F1" s="6" t="s">
        <v>18</v>
      </c>
      <c r="G1" s="6" t="s">
        <v>19</v>
      </c>
      <c r="H1" s="6" t="s">
        <v>20</v>
      </c>
      <c r="I1" s="6" t="s">
        <v>21</v>
      </c>
      <c r="J1" s="6" t="s">
        <v>22</v>
      </c>
      <c r="K1" s="6" t="s">
        <v>23</v>
      </c>
      <c r="L1" s="6" t="s">
        <v>24</v>
      </c>
      <c r="M1" s="6" t="s">
        <v>25</v>
      </c>
      <c r="N1" s="6" t="s">
        <v>26</v>
      </c>
      <c r="O1" s="6" t="s">
        <v>27</v>
      </c>
      <c r="P1" s="6" t="s">
        <v>28</v>
      </c>
      <c r="Q1" s="6" t="s">
        <v>29</v>
      </c>
      <c r="R1" s="6" t="s">
        <v>30</v>
      </c>
      <c r="S1" s="6" t="s">
        <v>31</v>
      </c>
      <c r="T1" s="6" t="s">
        <v>32</v>
      </c>
      <c r="U1" s="6" t="s">
        <v>33</v>
      </c>
    </row>
    <row r="2" customFormat="false" ht="15" hidden="false" customHeight="false" outlineLevel="0" collapsed="false">
      <c r="A2" s="7" t="n">
        <v>1</v>
      </c>
      <c r="B2" s="8"/>
      <c r="C2" s="9" t="s">
        <v>34</v>
      </c>
      <c r="D2" s="8"/>
      <c r="E2" s="8"/>
      <c r="F2" s="8"/>
      <c r="G2" s="8"/>
      <c r="H2" s="8"/>
      <c r="I2" s="10"/>
      <c r="J2" s="7" t="s">
        <v>35</v>
      </c>
      <c r="K2" s="7" t="s">
        <v>36</v>
      </c>
      <c r="L2" s="7" t="s">
        <v>37</v>
      </c>
      <c r="M2" s="11"/>
      <c r="N2" s="11"/>
      <c r="O2" s="11"/>
      <c r="P2" s="11"/>
      <c r="Q2" s="9"/>
      <c r="R2" s="11"/>
      <c r="S2" s="9" t="s">
        <v>38</v>
      </c>
      <c r="T2" s="9" t="s">
        <v>39</v>
      </c>
      <c r="U2" s="8"/>
    </row>
    <row r="3" customFormat="false" ht="15" hidden="false" customHeight="false" outlineLevel="0" collapsed="false">
      <c r="A3" s="7" t="n">
        <v>2</v>
      </c>
      <c r="B3" s="8"/>
      <c r="C3" s="9" t="s">
        <v>40</v>
      </c>
      <c r="D3" s="8"/>
      <c r="E3" s="8"/>
      <c r="F3" s="8"/>
      <c r="G3" s="8"/>
      <c r="H3" s="8"/>
      <c r="I3" s="10"/>
      <c r="J3" s="7" t="s">
        <v>35</v>
      </c>
      <c r="K3" s="7" t="s">
        <v>41</v>
      </c>
      <c r="L3" s="7" t="s">
        <v>37</v>
      </c>
      <c r="M3" s="11"/>
      <c r="N3" s="11"/>
      <c r="O3" s="11"/>
      <c r="P3" s="11"/>
      <c r="Q3" s="9"/>
      <c r="R3" s="11"/>
      <c r="S3" s="9" t="s">
        <v>38</v>
      </c>
      <c r="T3" s="9" t="s">
        <v>39</v>
      </c>
      <c r="U3" s="8"/>
    </row>
    <row r="4" customFormat="false" ht="15" hidden="false" customHeight="false" outlineLevel="0" collapsed="false">
      <c r="A4" s="7" t="n">
        <v>3</v>
      </c>
      <c r="B4" s="8"/>
      <c r="C4" s="9" t="s">
        <v>42</v>
      </c>
      <c r="D4" s="8"/>
      <c r="E4" s="8"/>
      <c r="F4" s="8"/>
      <c r="G4" s="8"/>
      <c r="H4" s="8"/>
      <c r="I4" s="10"/>
      <c r="J4" s="7" t="s">
        <v>35</v>
      </c>
      <c r="K4" s="7" t="s">
        <v>43</v>
      </c>
      <c r="L4" s="7" t="s">
        <v>37</v>
      </c>
      <c r="M4" s="11"/>
      <c r="N4" s="11"/>
      <c r="O4" s="11"/>
      <c r="P4" s="11"/>
      <c r="Q4" s="9"/>
      <c r="R4" s="11"/>
      <c r="S4" s="9" t="s">
        <v>38</v>
      </c>
      <c r="T4" s="9" t="s">
        <v>39</v>
      </c>
      <c r="U4" s="8"/>
    </row>
    <row r="5" customFormat="false" ht="15" hidden="false" customHeight="false" outlineLevel="0" collapsed="false">
      <c r="A5" s="7" t="n">
        <v>4</v>
      </c>
      <c r="B5" s="8"/>
      <c r="C5" s="9" t="s">
        <v>44</v>
      </c>
      <c r="D5" s="8"/>
      <c r="E5" s="8"/>
      <c r="F5" s="8"/>
      <c r="G5" s="8"/>
      <c r="H5" s="8"/>
      <c r="I5" s="10"/>
      <c r="J5" s="7" t="s">
        <v>35</v>
      </c>
      <c r="K5" s="7" t="s">
        <v>45</v>
      </c>
      <c r="L5" s="7" t="s">
        <v>37</v>
      </c>
      <c r="M5" s="11"/>
      <c r="N5" s="11"/>
      <c r="O5" s="11"/>
      <c r="P5" s="11"/>
      <c r="Q5" s="9"/>
      <c r="R5" s="11"/>
      <c r="S5" s="9" t="s">
        <v>38</v>
      </c>
      <c r="T5" s="9" t="s">
        <v>39</v>
      </c>
      <c r="U5" s="8"/>
    </row>
    <row r="6" customFormat="false" ht="15" hidden="false" customHeight="false" outlineLevel="0" collapsed="false">
      <c r="A6" s="7" t="n">
        <v>5</v>
      </c>
      <c r="B6" s="8"/>
      <c r="C6" s="9" t="s">
        <v>46</v>
      </c>
      <c r="D6" s="8"/>
      <c r="E6" s="8"/>
      <c r="F6" s="8"/>
      <c r="G6" s="8"/>
      <c r="H6" s="8"/>
      <c r="I6" s="10"/>
      <c r="J6" s="7" t="s">
        <v>35</v>
      </c>
      <c r="K6" s="7" t="s">
        <v>47</v>
      </c>
      <c r="L6" s="7" t="s">
        <v>37</v>
      </c>
      <c r="M6" s="11"/>
      <c r="N6" s="11"/>
      <c r="O6" s="11"/>
      <c r="P6" s="11"/>
      <c r="Q6" s="9"/>
      <c r="R6" s="11"/>
      <c r="S6" s="9" t="s">
        <v>38</v>
      </c>
      <c r="T6" s="9" t="s">
        <v>39</v>
      </c>
      <c r="U6" s="8"/>
    </row>
    <row r="7" customFormat="false" ht="15" hidden="false" customHeight="false" outlineLevel="0" collapsed="false">
      <c r="A7" s="7" t="n">
        <v>6</v>
      </c>
      <c r="B7" s="8"/>
      <c r="C7" s="9" t="s">
        <v>48</v>
      </c>
      <c r="D7" s="8"/>
      <c r="E7" s="8"/>
      <c r="F7" s="8"/>
      <c r="G7" s="8"/>
      <c r="H7" s="8"/>
      <c r="I7" s="10"/>
      <c r="J7" s="7" t="s">
        <v>35</v>
      </c>
      <c r="K7" s="7" t="s">
        <v>49</v>
      </c>
      <c r="L7" s="7" t="s">
        <v>37</v>
      </c>
      <c r="M7" s="11"/>
      <c r="N7" s="11"/>
      <c r="O7" s="11"/>
      <c r="P7" s="11"/>
      <c r="Q7" s="9"/>
      <c r="R7" s="11"/>
      <c r="S7" s="9" t="s">
        <v>38</v>
      </c>
      <c r="T7" s="9" t="s">
        <v>39</v>
      </c>
      <c r="U7" s="8"/>
    </row>
    <row r="8" customFormat="false" ht="15" hidden="false" customHeight="false" outlineLevel="0" collapsed="false">
      <c r="A8" s="7" t="n">
        <v>7</v>
      </c>
      <c r="B8" s="8"/>
      <c r="C8" s="9" t="s">
        <v>50</v>
      </c>
      <c r="D8" s="8"/>
      <c r="E8" s="8"/>
      <c r="F8" s="8"/>
      <c r="G8" s="8"/>
      <c r="H8" s="8"/>
      <c r="I8" s="10"/>
      <c r="J8" s="7" t="s">
        <v>35</v>
      </c>
      <c r="K8" s="7" t="s">
        <v>51</v>
      </c>
      <c r="L8" s="7" t="s">
        <v>37</v>
      </c>
      <c r="M8" s="11"/>
      <c r="N8" s="11"/>
      <c r="O8" s="11"/>
      <c r="P8" s="11"/>
      <c r="Q8" s="9"/>
      <c r="R8" s="11"/>
      <c r="S8" s="9" t="s">
        <v>38</v>
      </c>
      <c r="T8" s="9" t="s">
        <v>39</v>
      </c>
      <c r="U8" s="8"/>
    </row>
    <row r="9" customFormat="false" ht="15" hidden="false" customHeight="false" outlineLevel="0" collapsed="false">
      <c r="A9" s="7" t="n">
        <v>8</v>
      </c>
      <c r="B9" s="8"/>
      <c r="C9" s="9" t="s">
        <v>52</v>
      </c>
      <c r="D9" s="8"/>
      <c r="E9" s="8"/>
      <c r="F9" s="8"/>
      <c r="G9" s="8"/>
      <c r="H9" s="8"/>
      <c r="I9" s="10"/>
      <c r="J9" s="7" t="s">
        <v>35</v>
      </c>
      <c r="K9" s="7" t="s">
        <v>53</v>
      </c>
      <c r="L9" s="7" t="s">
        <v>37</v>
      </c>
      <c r="M9" s="11"/>
      <c r="N9" s="11"/>
      <c r="O9" s="11"/>
      <c r="P9" s="11"/>
      <c r="Q9" s="9"/>
      <c r="R9" s="11"/>
      <c r="S9" s="9" t="s">
        <v>38</v>
      </c>
      <c r="T9" s="9" t="s">
        <v>39</v>
      </c>
      <c r="U9" s="8"/>
    </row>
    <row r="10" customFormat="false" ht="15" hidden="false" customHeight="false" outlineLevel="0" collapsed="false">
      <c r="A10" s="7" t="n">
        <v>9</v>
      </c>
      <c r="B10" s="8"/>
      <c r="C10" s="9" t="s">
        <v>54</v>
      </c>
      <c r="D10" s="8"/>
      <c r="E10" s="8"/>
      <c r="F10" s="8"/>
      <c r="G10" s="8"/>
      <c r="H10" s="8"/>
      <c r="I10" s="10"/>
      <c r="J10" s="7" t="s">
        <v>35</v>
      </c>
      <c r="K10" s="7" t="s">
        <v>55</v>
      </c>
      <c r="L10" s="7" t="s">
        <v>37</v>
      </c>
      <c r="M10" s="11"/>
      <c r="N10" s="11"/>
      <c r="O10" s="11"/>
      <c r="P10" s="11"/>
      <c r="Q10" s="9"/>
      <c r="R10" s="11"/>
      <c r="S10" s="9" t="s">
        <v>38</v>
      </c>
      <c r="T10" s="9" t="s">
        <v>39</v>
      </c>
      <c r="U10" s="8"/>
    </row>
    <row r="11" customFormat="false" ht="15" hidden="false" customHeight="false" outlineLevel="0" collapsed="false">
      <c r="A11" s="7" t="n">
        <v>10</v>
      </c>
      <c r="B11" s="8"/>
      <c r="C11" s="9" t="s">
        <v>56</v>
      </c>
      <c r="D11" s="8"/>
      <c r="E11" s="8"/>
      <c r="F11" s="8"/>
      <c r="G11" s="8"/>
      <c r="H11" s="8"/>
      <c r="I11" s="10"/>
      <c r="J11" s="7" t="s">
        <v>35</v>
      </c>
      <c r="K11" s="7" t="s">
        <v>57</v>
      </c>
      <c r="L11" s="7" t="s">
        <v>37</v>
      </c>
      <c r="M11" s="11"/>
      <c r="N11" s="11"/>
      <c r="O11" s="11"/>
      <c r="P11" s="11"/>
      <c r="Q11" s="9"/>
      <c r="R11" s="11"/>
      <c r="S11" s="9" t="s">
        <v>38</v>
      </c>
      <c r="T11" s="9" t="s">
        <v>39</v>
      </c>
      <c r="U11" s="8"/>
    </row>
  </sheetData>
  <dataValidations count="8">
    <dataValidation allowBlank="true" errorStyle="stop" operator="between" showDropDown="false" showErrorMessage="true" showInputMessage="false" sqref="C2:C11" type="list">
      <formula1>"agency_founder,dfy_sdr_agency,head_of_sales,sdr_lead,revops,saas_founder,appointment_setter,fractional_cro,gtm_marketer,community_peer"</formula1>
      <formula2>0</formula2>
    </dataValidation>
    <dataValidation allowBlank="true" errorStyle="stop" operator="between" showDropDown="false" showErrorMessage="true" showInputMessage="false" sqref="G2:G11" type="list">
      <formula1>"friend_of_friend,warm_intro,community,second_degree,past_colleague"</formula1>
      <formula2>0</formula2>
    </dataValidation>
    <dataValidation allowBlank="true" errorStyle="stop" operator="between" showDropDown="false" showErrorMessage="true" showInputMessage="false" sqref="I2:I11" type="list">
      <formula1>"1,2,3,4,5"</formula1>
      <formula2>0</formula2>
    </dataValidation>
    <dataValidation allowBlank="true" errorStyle="stop" operator="between" showDropDown="false" showErrorMessage="true" showInputMessage="false" sqref="J2:J11" type="list">
      <formula1>"linkedin,email,both"</formula1>
      <formula2>0</formula2>
    </dataValidation>
    <dataValidation allowBlank="true" errorStyle="stop" operator="between" showDropDown="false" showErrorMessage="true" showInputMessage="false" sqref="K2:K11" type="list">
      <formula1>"A,B,C,D,E,F,G,H,I,J"</formula1>
      <formula2>0</formula2>
    </dataValidation>
    <dataValidation allowBlank="true" errorStyle="stop" operator="between" showDropDown="false" showErrorMessage="true" showInputMessage="false" sqref="L2:L11" type="list">
      <formula1>"new,contacted,in_progress,delivered,closed"</formula1>
      <formula2>0</formula2>
    </dataValidation>
    <dataValidation allowBlank="true" errorStyle="stop" operator="between" showDropDown="false" showErrorMessage="true" showInputMessage="false" sqref="Q2:Q11" type="list">
      <formula1>"positive,neutral,negative,no_reply"</formula1>
      <formula2>0</formula2>
    </dataValidation>
    <dataValidation allowBlank="true" errorStyle="stop" operator="between" showDropDown="false" showErrorMessage="true" showInputMessage="false" sqref="S2:S11" type="list">
      <formula1>"pending,no_response,replied,call_booked,pilot_accepted,pilot_delivered,case_study,referral,declined"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2"/>
    <col collapsed="false" customWidth="true" hidden="false" outlineLevel="0" max="4" min="4" style="0" width="4"/>
    <col collapsed="false" customWidth="true" hidden="false" outlineLevel="0" max="5" min="5" style="0" width="18"/>
    <col collapsed="false" customWidth="true" hidden="false" outlineLevel="0" max="6" min="6" style="0" width="10"/>
  </cols>
  <sheetData>
    <row r="2" customFormat="false" ht="18.55" hidden="false" customHeight="false" outlineLevel="0" collapsed="false">
      <c r="B2" s="12" t="s">
        <v>58</v>
      </c>
    </row>
    <row r="3" customFormat="false" ht="15" hidden="false" customHeight="false" outlineLevel="0" collapsed="false">
      <c r="B3" s="13" t="s">
        <v>59</v>
      </c>
    </row>
    <row r="5" customFormat="false" ht="15" hidden="false" customHeight="false" outlineLevel="0" collapsed="false">
      <c r="B5" s="14" t="s">
        <v>60</v>
      </c>
      <c r="C5" s="15" t="n">
        <f aca="false">COUNTA(Funnel!B2:B11)</f>
        <v>0</v>
      </c>
      <c r="E5" s="16" t="s">
        <v>24</v>
      </c>
      <c r="F5" s="16" t="s">
        <v>61</v>
      </c>
    </row>
    <row r="6" customFormat="false" ht="15" hidden="false" customHeight="false" outlineLevel="0" collapsed="false">
      <c r="B6" s="14" t="s">
        <v>62</v>
      </c>
      <c r="C6" s="15" t="n">
        <f aca="false">COUNT(Funnel!M2:M11)</f>
        <v>0</v>
      </c>
      <c r="E6" s="17" t="s">
        <v>37</v>
      </c>
      <c r="F6" s="7" t="n">
        <f aca="false">COUNTIF(Funnel!L2:L11,"new")</f>
        <v>10</v>
      </c>
    </row>
    <row r="7" customFormat="false" ht="15" hidden="false" customHeight="false" outlineLevel="0" collapsed="false">
      <c r="B7" s="14" t="s">
        <v>63</v>
      </c>
      <c r="C7" s="15" t="n">
        <f aca="false">COUNT(Funnel!N2:N11)+COUNT(Funnel!O2:O11)</f>
        <v>0</v>
      </c>
      <c r="E7" s="17" t="s">
        <v>64</v>
      </c>
      <c r="F7" s="7" t="n">
        <f aca="false">COUNTIF(Funnel!L2:L11,"contacted")</f>
        <v>0</v>
      </c>
    </row>
    <row r="8" customFormat="false" ht="15" hidden="false" customHeight="false" outlineLevel="0" collapsed="false">
      <c r="B8" s="14" t="s">
        <v>65</v>
      </c>
      <c r="C8" s="15" t="n">
        <f aca="false">COUNT(Funnel!P2:P11)</f>
        <v>0</v>
      </c>
      <c r="E8" s="17" t="s">
        <v>66</v>
      </c>
      <c r="F8" s="7" t="n">
        <f aca="false">COUNTIF(Funnel!L2:L11,"in_progress")</f>
        <v>0</v>
      </c>
    </row>
    <row r="9" customFormat="false" ht="15" hidden="false" customHeight="false" outlineLevel="0" collapsed="false">
      <c r="B9" s="14" t="s">
        <v>67</v>
      </c>
      <c r="C9" s="18" t="n">
        <f aca="false">IF(C6=0,0,C8/C6)</f>
        <v>0</v>
      </c>
      <c r="E9" s="17" t="s">
        <v>68</v>
      </c>
      <c r="F9" s="7" t="n">
        <f aca="false">COUNTIF(Funnel!L2:L11,"delivered")</f>
        <v>0</v>
      </c>
    </row>
    <row r="10" customFormat="false" ht="15" hidden="false" customHeight="false" outlineLevel="0" collapsed="false">
      <c r="B10" s="14" t="s">
        <v>69</v>
      </c>
      <c r="C10" s="15" t="n">
        <f aca="false">COUNTIF(Funnel!Q2:Q11,"positive")</f>
        <v>0</v>
      </c>
      <c r="E10" s="17" t="s">
        <v>70</v>
      </c>
      <c r="F10" s="7" t="n">
        <f aca="false">COUNTIF(Funnel!L2:L11,"closed")</f>
        <v>0</v>
      </c>
    </row>
    <row r="11" customFormat="false" ht="15" hidden="false" customHeight="false" outlineLevel="0" collapsed="false">
      <c r="B11" s="14" t="s">
        <v>71</v>
      </c>
      <c r="C11" s="15" t="n">
        <f aca="false">COUNTIF(Funnel!S2:S11,"call_booked")</f>
        <v>0</v>
      </c>
      <c r="E11" s="19" t="s">
        <v>72</v>
      </c>
      <c r="F11" s="20" t="n">
        <f aca="false">SUM(F6:F10)</f>
        <v>10</v>
      </c>
    </row>
    <row r="12" customFormat="false" ht="15" hidden="false" customHeight="false" outlineLevel="0" collapsed="false">
      <c r="B12" s="14" t="s">
        <v>73</v>
      </c>
      <c r="C12" s="15" t="n">
        <f aca="false">COUNTIF(Funnel!S2:S11,"pilot_accepted")</f>
        <v>0</v>
      </c>
    </row>
    <row r="13" customFormat="false" ht="15" hidden="false" customHeight="false" outlineLevel="0" collapsed="false">
      <c r="B13" s="14" t="s">
        <v>74</v>
      </c>
      <c r="C13" s="15" t="n">
        <f aca="false">COUNT(Funnel!R2:R11)</f>
        <v>0</v>
      </c>
    </row>
    <row r="14" customFormat="false" ht="15" hidden="false" customHeight="false" outlineLevel="0" collapsed="false">
      <c r="B14" s="14" t="s">
        <v>75</v>
      </c>
      <c r="C14" s="15" t="n">
        <f aca="false">COUNTIF(Funnel!S2:S11,"case_study")</f>
        <v>0</v>
      </c>
    </row>
    <row r="15" customFormat="false" ht="15" hidden="false" customHeight="false" outlineLevel="0" collapsed="false">
      <c r="B15" s="14" t="s">
        <v>76</v>
      </c>
      <c r="C15" s="15" t="n">
        <f aca="false">COUNTIF(Funnel!S2:S11,"referral")</f>
        <v>0</v>
      </c>
    </row>
    <row r="16" customFormat="false" ht="15" hidden="false" customHeight="false" outlineLevel="0" collapsed="false">
      <c r="B16" s="14" t="s">
        <v>77</v>
      </c>
      <c r="C16" s="15" t="n">
        <f aca="false">COUNTIF(Funnel!S2:S11,"declined")</f>
        <v>0</v>
      </c>
    </row>
    <row r="18" customFormat="false" ht="15" hidden="false" customHeight="false" outlineLevel="0" collapsed="false">
      <c r="B18" s="21" t="s">
        <v>78</v>
      </c>
      <c r="C18" s="22"/>
    </row>
    <row r="19" customFormat="false" ht="15" hidden="false" customHeight="false" outlineLevel="0" collapsed="false">
      <c r="B19" s="14" t="s">
        <v>79</v>
      </c>
      <c r="C19" s="18" t="n">
        <f aca="false">IF(C6=0,0,C8/C6)</f>
        <v>0</v>
      </c>
    </row>
    <row r="20" customFormat="false" ht="15" hidden="false" customHeight="false" outlineLevel="0" collapsed="false">
      <c r="B20" s="14" t="s">
        <v>80</v>
      </c>
      <c r="C20" s="18" t="n">
        <f aca="false">IF(C8=0,0,C13/C8)</f>
        <v>0</v>
      </c>
    </row>
    <row r="21" customFormat="false" ht="15" hidden="false" customHeight="false" outlineLevel="0" collapsed="false">
      <c r="B21" s="14" t="s">
        <v>81</v>
      </c>
      <c r="C21" s="18" t="n">
        <f aca="false">IF(C6=0,0,C14/C6)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30"/>
    <col collapsed="false" customWidth="true" hidden="false" outlineLevel="0" max="4" min="4" style="0" width="16"/>
    <col collapsed="false" customWidth="true" hidden="false" outlineLevel="0" max="5" min="5" style="0" width="12"/>
    <col collapsed="false" customWidth="true" hidden="false" outlineLevel="0" max="6" min="6" style="0" width="30"/>
  </cols>
  <sheetData>
    <row r="2" customFormat="false" ht="18.55" hidden="false" customHeight="false" outlineLevel="0" collapsed="false">
      <c r="B2" s="12" t="s">
        <v>82</v>
      </c>
    </row>
    <row r="3" customFormat="false" ht="15" hidden="false" customHeight="true" outlineLevel="0" collapsed="false">
      <c r="B3" s="23" t="s">
        <v>83</v>
      </c>
      <c r="C3" s="23"/>
      <c r="D3" s="23"/>
      <c r="E3" s="23"/>
      <c r="F3" s="23"/>
    </row>
    <row r="4" customFormat="false" ht="15" hidden="false" customHeight="true" outlineLevel="0" collapsed="false">
      <c r="B4" s="24" t="s">
        <v>84</v>
      </c>
      <c r="C4" s="24"/>
      <c r="D4" s="24"/>
      <c r="E4" s="24"/>
      <c r="F4" s="24"/>
    </row>
    <row r="5" customFormat="false" ht="15" hidden="false" customHeight="true" outlineLevel="0" collapsed="false">
      <c r="B5" s="24" t="s">
        <v>85</v>
      </c>
      <c r="C5" s="24"/>
      <c r="D5" s="24"/>
      <c r="E5" s="24"/>
      <c r="F5" s="24"/>
    </row>
    <row r="6" customFormat="false" ht="15" hidden="false" customHeight="true" outlineLevel="0" collapsed="false">
      <c r="B6" s="24" t="s">
        <v>86</v>
      </c>
      <c r="C6" s="24"/>
      <c r="D6" s="24"/>
      <c r="E6" s="24"/>
      <c r="F6" s="24"/>
    </row>
    <row r="7" customFormat="false" ht="15" hidden="false" customHeight="true" outlineLevel="0" collapsed="false">
      <c r="B7" s="24" t="s">
        <v>87</v>
      </c>
      <c r="C7" s="24"/>
      <c r="D7" s="24"/>
      <c r="E7" s="24"/>
      <c r="F7" s="24"/>
    </row>
    <row r="8" customFormat="false" ht="15" hidden="false" customHeight="true" outlineLevel="0" collapsed="false">
      <c r="B8" s="24" t="s">
        <v>88</v>
      </c>
      <c r="C8" s="24"/>
      <c r="D8" s="24"/>
      <c r="E8" s="24"/>
      <c r="F8" s="24"/>
    </row>
    <row r="10" customFormat="false" ht="26.85" hidden="false" customHeight="false" outlineLevel="0" collapsed="false">
      <c r="B10" s="6" t="s">
        <v>89</v>
      </c>
      <c r="C10" s="6" t="s">
        <v>90</v>
      </c>
      <c r="D10" s="6" t="s">
        <v>15</v>
      </c>
      <c r="E10" s="6" t="s">
        <v>91</v>
      </c>
      <c r="F10" s="6" t="s">
        <v>92</v>
      </c>
    </row>
    <row r="11" customFormat="false" ht="15" hidden="false" customHeight="false" outlineLevel="0" collapsed="false">
      <c r="B11" s="8"/>
      <c r="C11" s="8"/>
      <c r="D11" s="8"/>
      <c r="E11" s="8"/>
      <c r="F11" s="8"/>
    </row>
    <row r="12" customFormat="false" ht="15" hidden="false" customHeight="false" outlineLevel="0" collapsed="false">
      <c r="B12" s="8"/>
      <c r="C12" s="8"/>
      <c r="D12" s="8"/>
      <c r="E12" s="8"/>
      <c r="F12" s="8"/>
    </row>
    <row r="13" customFormat="false" ht="15" hidden="false" customHeight="false" outlineLevel="0" collapsed="false">
      <c r="B13" s="8"/>
      <c r="C13" s="8"/>
      <c r="D13" s="8"/>
      <c r="E13" s="8"/>
      <c r="F13" s="8"/>
    </row>
    <row r="14" customFormat="false" ht="15" hidden="false" customHeight="false" outlineLevel="0" collapsed="false">
      <c r="B14" s="8"/>
      <c r="C14" s="8"/>
      <c r="D14" s="8"/>
      <c r="E14" s="8"/>
      <c r="F14" s="8"/>
    </row>
    <row r="15" customFormat="false" ht="15" hidden="false" customHeight="false" outlineLevel="0" collapsed="false">
      <c r="B15" s="8"/>
      <c r="C15" s="8"/>
      <c r="D15" s="8"/>
      <c r="E15" s="8"/>
      <c r="F15" s="8"/>
    </row>
    <row r="16" customFormat="false" ht="15" hidden="false" customHeight="false" outlineLevel="0" collapsed="false">
      <c r="B16" s="8"/>
      <c r="C16" s="8"/>
      <c r="D16" s="8"/>
      <c r="E16" s="8"/>
      <c r="F16" s="8"/>
    </row>
    <row r="17" customFormat="false" ht="15" hidden="false" customHeight="false" outlineLevel="0" collapsed="false">
      <c r="B17" s="8"/>
      <c r="C17" s="8"/>
      <c r="D17" s="8"/>
      <c r="E17" s="8"/>
      <c r="F17" s="8"/>
    </row>
    <row r="18" customFormat="false" ht="15" hidden="false" customHeight="false" outlineLevel="0" collapsed="false">
      <c r="B18" s="8"/>
      <c r="C18" s="8"/>
      <c r="D18" s="8"/>
      <c r="E18" s="8"/>
      <c r="F18" s="8"/>
    </row>
    <row r="19" customFormat="false" ht="15" hidden="false" customHeight="false" outlineLevel="0" collapsed="false">
      <c r="B19" s="8"/>
      <c r="C19" s="8"/>
      <c r="D19" s="8"/>
      <c r="E19" s="8"/>
      <c r="F19" s="8"/>
    </row>
    <row r="20" customFormat="false" ht="15" hidden="false" customHeight="false" outlineLevel="0" collapsed="false">
      <c r="B20" s="8"/>
      <c r="C20" s="8"/>
      <c r="D20" s="8"/>
      <c r="E20" s="8"/>
      <c r="F20" s="8"/>
    </row>
    <row r="21" customFormat="false" ht="15" hidden="false" customHeight="false" outlineLevel="0" collapsed="false">
      <c r="B21" s="8"/>
      <c r="C21" s="8"/>
      <c r="D21" s="8"/>
      <c r="E21" s="8"/>
      <c r="F21" s="8"/>
    </row>
    <row r="22" customFormat="false" ht="15" hidden="false" customHeight="false" outlineLevel="0" collapsed="false">
      <c r="B22" s="8"/>
      <c r="C22" s="8"/>
      <c r="D22" s="8"/>
      <c r="E22" s="8"/>
      <c r="F22" s="8"/>
    </row>
    <row r="23" customFormat="false" ht="15" hidden="false" customHeight="false" outlineLevel="0" collapsed="false">
      <c r="B23" s="8"/>
      <c r="C23" s="8"/>
      <c r="D23" s="8"/>
      <c r="E23" s="8"/>
      <c r="F23" s="8"/>
    </row>
    <row r="24" customFormat="false" ht="15" hidden="false" customHeight="false" outlineLevel="0" collapsed="false">
      <c r="B24" s="8"/>
      <c r="C24" s="8"/>
      <c r="D24" s="8"/>
      <c r="E24" s="8"/>
      <c r="F24" s="8"/>
    </row>
    <row r="25" customFormat="false" ht="15" hidden="false" customHeight="false" outlineLevel="0" collapsed="false">
      <c r="B25" s="8"/>
      <c r="C25" s="8"/>
      <c r="D25" s="8"/>
      <c r="E25" s="8"/>
      <c r="F25" s="8"/>
    </row>
  </sheetData>
  <mergeCells count="6">
    <mergeCell ref="B3:F3"/>
    <mergeCell ref="B4:F4"/>
    <mergeCell ref="B5:F5"/>
    <mergeCell ref="B6:F6"/>
    <mergeCell ref="B7:F7"/>
    <mergeCell ref="B8:F8"/>
  </mergeCells>
  <dataValidations count="3">
    <dataValidation allowBlank="true" errorStyle="stop" operator="between" showDropDown="false" showErrorMessage="false" showInputMessage="false" sqref="D11:D25" type="list">
      <formula1>"agency_founder,dfy_sdr_agency,head_of_sales,sdr_lead,revops,saas_founder,appointment_setter,fractional_cro,gtm_marketer,community_peer"</formula1>
      <formula2>0</formula2>
    </dataValidation>
    <dataValidation allowBlank="true" errorStyle="stop" operator="between" showDropDown="false" showErrorMessage="false" showInputMessage="false" sqref="E11:E25" type="list">
      <formula1>"1,2,3,4,5"</formula1>
      <formula2>0</formula2>
    </dataValidation>
    <dataValidation allowBlank="true" errorStyle="stop" operator="between" showDropDown="false" showErrorMessage="false" showInputMessage="false" sqref="F11:F25"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92"/>
  </cols>
  <sheetData>
    <row r="2" customFormat="false" ht="18.55" hidden="false" customHeight="false" outlineLevel="0" collapsed="false">
      <c r="B2" s="25" t="s">
        <v>93</v>
      </c>
      <c r="C2" s="25"/>
    </row>
    <row r="3" customFormat="false" ht="46.25" hidden="false" customHeight="false" outlineLevel="0" collapsed="false">
      <c r="B3" s="16" t="s">
        <v>94</v>
      </c>
      <c r="C3" s="4" t="s">
        <v>95</v>
      </c>
    </row>
    <row r="5" customFormat="false" ht="45.75" hidden="false" customHeight="true" outlineLevel="0" collapsed="false">
      <c r="B5" s="26" t="s">
        <v>96</v>
      </c>
      <c r="C5" s="9" t="s">
        <v>97</v>
      </c>
    </row>
    <row r="6" customFormat="false" ht="45.75" hidden="false" customHeight="true" outlineLevel="0" collapsed="false">
      <c r="B6" s="26" t="s">
        <v>98</v>
      </c>
      <c r="C6" s="9" t="s">
        <v>99</v>
      </c>
    </row>
    <row r="7" customFormat="false" ht="45.75" hidden="false" customHeight="true" outlineLevel="0" collapsed="false">
      <c r="B7" s="26" t="s">
        <v>100</v>
      </c>
      <c r="C7" s="9" t="s">
        <v>101</v>
      </c>
    </row>
    <row r="8" customFormat="false" ht="45.75" hidden="false" customHeight="true" outlineLevel="0" collapsed="false">
      <c r="B8" s="26" t="s">
        <v>102</v>
      </c>
      <c r="C8" s="9" t="s">
        <v>103</v>
      </c>
    </row>
    <row r="9" customFormat="false" ht="45.75" hidden="false" customHeight="true" outlineLevel="0" collapsed="false">
      <c r="B9" s="26" t="s">
        <v>104</v>
      </c>
      <c r="C9" s="9" t="s">
        <v>105</v>
      </c>
    </row>
    <row r="10" customFormat="false" ht="45.75" hidden="false" customHeight="true" outlineLevel="0" collapsed="false">
      <c r="B10" s="26" t="s">
        <v>106</v>
      </c>
      <c r="C10" s="9" t="s">
        <v>107</v>
      </c>
    </row>
    <row r="11" customFormat="false" ht="45.75" hidden="false" customHeight="true" outlineLevel="0" collapsed="false">
      <c r="B11" s="26" t="s">
        <v>108</v>
      </c>
      <c r="C11" s="9" t="s">
        <v>109</v>
      </c>
    </row>
    <row r="12" customFormat="false" ht="45.75" hidden="false" customHeight="true" outlineLevel="0" collapsed="false">
      <c r="B12" s="26" t="s">
        <v>110</v>
      </c>
      <c r="C12" s="9" t="s">
        <v>111</v>
      </c>
    </row>
    <row r="13" customFormat="false" ht="45.75" hidden="false" customHeight="true" outlineLevel="0" collapsed="false">
      <c r="B13" s="26" t="s">
        <v>112</v>
      </c>
      <c r="C13" s="9" t="s">
        <v>113</v>
      </c>
    </row>
    <row r="14" customFormat="false" ht="45.75" hidden="false" customHeight="true" outlineLevel="0" collapsed="false">
      <c r="B14" s="26" t="s">
        <v>114</v>
      </c>
      <c r="C14" s="9" t="s">
        <v>115</v>
      </c>
    </row>
    <row r="16" customFormat="false" ht="35.05" hidden="false" customHeight="false" outlineLevel="0" collapsed="false">
      <c r="B16" s="16" t="s">
        <v>116</v>
      </c>
      <c r="C16" s="27" t="s">
        <v>117</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2026-06-22T23:24:07Z</dcterms:created>
  <dc:creator>openpyxl</dc:creator>
  <dc:description/>
  <dc:language>en-US</dc:language>
  <cp:lastModifiedBy/>
  <dcterms:modified xsi:type="dcterms:W3CDTF">2026-06-22T23:24:07Z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